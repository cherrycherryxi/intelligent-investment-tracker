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总览" sheetId="1" state="visible" r:id="rId1"/>
    <sheet xmlns:r="http://schemas.openxmlformats.org/officeDocument/2006/relationships" name="外汇交易记录" sheetId="2" state="visible" r:id="rId2"/>
    <sheet xmlns:r="http://schemas.openxmlformats.org/officeDocument/2006/relationships" name="柜台债持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i val="1"/>
      <color rgb="00666666"/>
      <sz val="9"/>
    </font>
    <font>
      <name val="Arial"/>
      <b val="1"/>
      <color rgb="001F3864"/>
      <sz val="14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4" fontId="3" fillId="0" borderId="0" pivotButton="0" quotePrefix="0" xfId="0"/>
    <xf numFmtId="0" fontId="9" fillId="0" borderId="0" pivotButton="0" quotePrefix="0" xfId="0"/>
    <xf numFmtId="4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1" t="inlineStr">
        <is>
          <t>个人外币 &amp; 固收资产追踪</t>
        </is>
      </c>
    </row>
    <row r="3">
      <c r="A3" t="inlineStr">
        <is>
          <t>更新时间</t>
        </is>
      </c>
      <c r="B3" s="2">
        <f>TODAY()</f>
        <v/>
      </c>
    </row>
    <row r="5">
      <c r="A5" s="3" t="inlineStr">
        <is>
          <t>外汇持仓总成本(CNY)</t>
        </is>
      </c>
      <c r="B5" s="4">
        <f>SUM(外汇交易记录!I2:I100)</f>
        <v/>
      </c>
    </row>
    <row r="6">
      <c r="A6" s="3" t="inlineStr">
        <is>
          <t>外汇当前总价值(CNY)</t>
        </is>
      </c>
      <c r="B6" s="4">
        <f>SUM(外汇交易记录!K2:K100)</f>
        <v/>
      </c>
    </row>
    <row r="7">
      <c r="A7" s="3" t="inlineStr">
        <is>
          <t>外汇总盈亏(CNY)</t>
        </is>
      </c>
      <c r="B7" s="4">
        <f>SUM(外汇交易记录!L2:L100)</f>
        <v/>
      </c>
    </row>
    <row r="9">
      <c r="A9" s="3" t="inlineStr">
        <is>
          <t>柜台债总成本(CNY)</t>
        </is>
      </c>
      <c r="B9" s="4">
        <f>SUM(柜台债持仓!G2:G100)</f>
        <v/>
      </c>
    </row>
    <row r="10">
      <c r="A10" s="3" t="inlineStr">
        <is>
          <t>柜台债持有收益(CNY)</t>
        </is>
      </c>
      <c r="B10" s="4">
        <f>SUM(柜台债持仓!L2:L100)</f>
        <v/>
      </c>
    </row>
    <row r="12">
      <c r="A12" s="5" t="inlineStr">
        <is>
          <t>合计总资产(CNY)</t>
        </is>
      </c>
      <c r="B12" s="6">
        <f>B6+SUM(柜台债持仓!K2:K100)</f>
        <v/>
      </c>
    </row>
    <row r="13">
      <c r="A13" s="5" t="inlineStr">
        <is>
          <t>合计总盈亏(CNY)</t>
        </is>
      </c>
      <c r="B13" s="6">
        <f>B7+B10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2" customWidth="1" min="5" max="5"/>
    <col width="14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  <col width="10" customWidth="1" min="13" max="13"/>
    <col width="20" customWidth="1" min="14" max="14"/>
  </cols>
  <sheetData>
    <row r="1" ht="36" customHeight="1">
      <c r="A1" s="7" t="inlineStr">
        <is>
          <t>交易ID</t>
        </is>
      </c>
      <c r="B1" s="7" t="inlineStr">
        <is>
          <t>交易时间</t>
        </is>
      </c>
      <c r="C1" s="7" t="inlineStr">
        <is>
          <t>卖出货币</t>
        </is>
      </c>
      <c r="D1" s="7" t="inlineStr">
        <is>
          <t>卖出金额</t>
        </is>
      </c>
      <c r="E1" s="7" t="inlineStr">
        <is>
          <t>买入货币</t>
        </is>
      </c>
      <c r="F1" s="7" t="inlineStr">
        <is>
          <t>买入金额</t>
        </is>
      </c>
      <c r="G1" s="7" t="inlineStr">
        <is>
          <t>隐含汇率
(卖出/买入)</t>
        </is>
      </c>
      <c r="H1" s="7" t="inlineStr">
        <is>
          <t>基准货币
(CNY/USD)</t>
        </is>
      </c>
      <c r="I1" s="7" t="inlineStr">
        <is>
          <t>买入金额(CNY)</t>
        </is>
      </c>
      <c r="J1" s="7" t="inlineStr">
        <is>
          <t>当前汇率(CNY)</t>
        </is>
      </c>
      <c r="K1" s="7" t="inlineStr">
        <is>
          <t>当前价值(CNY)</t>
        </is>
      </c>
      <c r="L1" s="7" t="inlineStr">
        <is>
          <t>盈亏(CNY)</t>
        </is>
      </c>
      <c r="M1" s="7" t="inlineStr">
        <is>
          <t>盈亏%</t>
        </is>
      </c>
      <c r="N1" s="7" t="inlineStr">
        <is>
          <t>备注</t>
        </is>
      </c>
    </row>
    <row r="2">
      <c r="A2" s="8" t="inlineStr">
        <is>
          <t>FX001</t>
        </is>
      </c>
      <c r="B2" s="8" t="inlineStr">
        <is>
          <t>2025-09-18 02:01:10</t>
        </is>
      </c>
      <c r="C2" s="8" t="inlineStr">
        <is>
          <t>JPY</t>
        </is>
      </c>
      <c r="D2" s="8" t="n">
        <v>52792</v>
      </c>
      <c r="E2" s="8" t="inlineStr">
        <is>
          <t>USD</t>
        </is>
      </c>
      <c r="F2" s="8" t="n">
        <v>361.59</v>
      </c>
      <c r="G2" s="9">
        <f>IF(AND(D2&lt;&gt;"",F2&lt;&gt;""),D2/F2,"")</f>
        <v/>
      </c>
      <c r="H2" s="8" t="inlineStr">
        <is>
          <t>USD</t>
        </is>
      </c>
      <c r="I2" s="9" t="inlineStr"/>
      <c r="J2" s="9" t="inlineStr"/>
      <c r="K2" s="9">
        <f>IF(AND(F2&lt;&gt;"",J2&lt;&gt;""),F2*J2,"")</f>
        <v/>
      </c>
      <c r="L2" s="9">
        <f>IF(AND(K2&lt;&gt;"",I2&lt;&gt;""),K2-I2,"")</f>
        <v/>
      </c>
      <c r="M2" s="10">
        <f>IF(AND(L2&lt;&gt;"",I2&lt;&gt;"",I2&lt;&gt;0),L2/I2,"")</f>
        <v/>
      </c>
      <c r="N2" s="9" t="inlineStr">
        <is>
          <t>卖日元买美元</t>
        </is>
      </c>
    </row>
    <row r="3">
      <c r="A3" s="8" t="inlineStr">
        <is>
          <t>FX002</t>
        </is>
      </c>
      <c r="B3" s="8" t="inlineStr">
        <is>
          <t>2025-09-18 02:02:50</t>
        </is>
      </c>
      <c r="C3" s="8" t="inlineStr">
        <is>
          <t>JPY</t>
        </is>
      </c>
      <c r="D3" s="8" t="n">
        <v>50000</v>
      </c>
      <c r="E3" s="8" t="inlineStr">
        <is>
          <t>USD</t>
        </is>
      </c>
      <c r="F3" s="8" t="n">
        <v>342.72</v>
      </c>
      <c r="G3" s="9">
        <f>IF(AND(D3&lt;&gt;"",F3&lt;&gt;""),D3/F3,"")</f>
        <v/>
      </c>
      <c r="H3" s="8" t="inlineStr">
        <is>
          <t>USD</t>
        </is>
      </c>
      <c r="I3" s="9" t="inlineStr"/>
      <c r="J3" s="9" t="inlineStr"/>
      <c r="K3" s="9">
        <f>IF(AND(F3&lt;&gt;"",J3&lt;&gt;""),F3*J3,"")</f>
        <v/>
      </c>
      <c r="L3" s="9">
        <f>IF(AND(K3&lt;&gt;"",I3&lt;&gt;""),K3-I3,"")</f>
        <v/>
      </c>
      <c r="M3" s="10">
        <f>IF(AND(L3&lt;&gt;"",I3&lt;&gt;"",I3&lt;&gt;0),L3/I3,"")</f>
        <v/>
      </c>
      <c r="N3" s="9" t="inlineStr">
        <is>
          <t>卖日元买美元</t>
        </is>
      </c>
    </row>
    <row r="4">
      <c r="A4" s="8" t="inlineStr">
        <is>
          <t>FX003</t>
        </is>
      </c>
      <c r="B4" s="8" t="inlineStr">
        <is>
          <t>2025-09-18 09:54:35</t>
        </is>
      </c>
      <c r="C4" s="8" t="inlineStr">
        <is>
          <t>CNY</t>
        </is>
      </c>
      <c r="D4" s="8" t="inlineStr"/>
      <c r="E4" s="8" t="inlineStr">
        <is>
          <t>USD</t>
        </is>
      </c>
      <c r="F4" s="8" t="n">
        <v>800</v>
      </c>
      <c r="G4" s="9">
        <f>IF(AND(D4&lt;&gt;"",F4&lt;&gt;""),D4/F4,"")</f>
        <v/>
      </c>
      <c r="H4" s="8" t="inlineStr">
        <is>
          <t>CNY</t>
        </is>
      </c>
      <c r="I4" s="9" t="inlineStr"/>
      <c r="J4" s="9" t="inlineStr"/>
      <c r="K4" s="9">
        <f>IF(AND(F4&lt;&gt;"",J4&lt;&gt;""),F4*J4,"")</f>
        <v/>
      </c>
      <c r="L4" s="9">
        <f>IF(AND(K4&lt;&gt;"",I4&lt;&gt;""),K4-I4,"")</f>
        <v/>
      </c>
      <c r="M4" s="10">
        <f>IF(AND(L4&lt;&gt;"",I4&lt;&gt;"",I4&lt;&gt;0),L4/I4,"")</f>
        <v/>
      </c>
      <c r="N4" s="9" t="inlineStr">
        <is>
          <t>买美元（卖出CNY待补充）</t>
        </is>
      </c>
    </row>
    <row r="5">
      <c r="A5" s="8" t="inlineStr">
        <is>
          <t>FX004</t>
        </is>
      </c>
      <c r="B5" s="8" t="inlineStr">
        <is>
          <t>2025-09-18 10:23:30</t>
        </is>
      </c>
      <c r="C5" s="8" t="inlineStr">
        <is>
          <t>AUD</t>
        </is>
      </c>
      <c r="D5" s="8" t="n">
        <v>506.9</v>
      </c>
      <c r="E5" s="8" t="inlineStr">
        <is>
          <t>USD</t>
        </is>
      </c>
      <c r="F5" s="8" t="n">
        <v>336.58</v>
      </c>
      <c r="G5" s="9">
        <f>IF(AND(D5&lt;&gt;"",F5&lt;&gt;""),D5/F5,"")</f>
        <v/>
      </c>
      <c r="H5" s="8" t="inlineStr">
        <is>
          <t>USD</t>
        </is>
      </c>
      <c r="I5" s="9" t="inlineStr"/>
      <c r="J5" s="9" t="inlineStr"/>
      <c r="K5" s="9">
        <f>IF(AND(F5&lt;&gt;"",J5&lt;&gt;""),F5*J5,"")</f>
        <v/>
      </c>
      <c r="L5" s="9">
        <f>IF(AND(K5&lt;&gt;"",I5&lt;&gt;""),K5-I5,"")</f>
        <v/>
      </c>
      <c r="M5" s="10">
        <f>IF(AND(L5&lt;&gt;"",I5&lt;&gt;"",I5&lt;&gt;0),L5/I5,"")</f>
        <v/>
      </c>
      <c r="N5" s="9" t="inlineStr">
        <is>
          <t>卖澳元买美元</t>
        </is>
      </c>
    </row>
    <row r="6">
      <c r="A6" s="11" t="inlineStr">
        <is>
          <t>汇总</t>
        </is>
      </c>
      <c r="L6" s="12">
        <f>SUM(L2:L5)</f>
        <v/>
      </c>
    </row>
    <row r="8">
      <c r="A8" s="13" t="inlineStr">
        <is>
          <t>📌 填写说明：蓝色列为手动输入；I列=买入时成本(CNY)；J列由Agent自动填入当前汇率；K/L/M为自动计算</t>
        </is>
      </c>
    </row>
  </sheetData>
  <mergeCells count="1">
    <mergeCell ref="A8: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20" customWidth="1" min="14" max="14"/>
  </cols>
  <sheetData>
    <row r="1" ht="36" customHeight="1">
      <c r="A1" s="14" t="inlineStr">
        <is>
          <t>债券代码</t>
        </is>
      </c>
      <c r="B1" s="14" t="inlineStr">
        <is>
          <t>债券名称</t>
        </is>
      </c>
      <c r="C1" s="14" t="inlineStr">
        <is>
          <t>买入日期</t>
        </is>
      </c>
      <c r="D1" s="14" t="inlineStr">
        <is>
          <t>到期日</t>
        </is>
      </c>
      <c r="E1" s="14" t="inlineStr">
        <is>
          <t>面值(元)</t>
        </is>
      </c>
      <c r="F1" s="14" t="inlineStr">
        <is>
          <t>买入价格</t>
        </is>
      </c>
      <c r="G1" s="14" t="inlineStr">
        <is>
          <t>买入成本(元)</t>
        </is>
      </c>
      <c r="H1" s="14" t="inlineStr">
        <is>
          <t>票面利率%</t>
        </is>
      </c>
      <c r="I1" s="14" t="inlineStr">
        <is>
          <t>已持有天数</t>
        </is>
      </c>
      <c r="J1" s="14" t="inlineStr">
        <is>
          <t>应计利息(元)</t>
        </is>
      </c>
      <c r="K1" s="14" t="inlineStr">
        <is>
          <t>当前估值(元)</t>
        </is>
      </c>
      <c r="L1" s="14" t="inlineStr">
        <is>
          <t>持有收益(元)</t>
        </is>
      </c>
      <c r="M1" s="14" t="inlineStr">
        <is>
          <t>年化收益率</t>
        </is>
      </c>
      <c r="N1" s="14" t="inlineStr">
        <is>
          <t>备注</t>
        </is>
      </c>
    </row>
    <row r="2">
      <c r="A2" s="8" t="inlineStr">
        <is>
          <t>019735</t>
        </is>
      </c>
      <c r="B2" s="8" t="inlineStr">
        <is>
          <t>24附息国债35</t>
        </is>
      </c>
      <c r="C2" s="8" t="inlineStr">
        <is>
          <t>2024-10-15</t>
        </is>
      </c>
      <c r="D2" s="8" t="inlineStr">
        <is>
          <t>2027-10-15</t>
        </is>
      </c>
      <c r="E2" s="8" t="n">
        <v>50000</v>
      </c>
      <c r="F2" s="8" t="n">
        <v>100</v>
      </c>
      <c r="G2" s="9">
        <f>E2*F2/100</f>
        <v/>
      </c>
      <c r="H2" s="8" t="inlineStr">
        <is>
          <t>2.05</t>
        </is>
      </c>
      <c r="I2" s="9">
        <f>IF(AND(C2&lt;&gt;"",TODAY()&gt;C2),TODAY()-DATEVALUE(TEXT(C2,"YYYY-MM-DD")),"")</f>
        <v/>
      </c>
      <c r="J2" s="9">
        <f>IF(AND(E2&lt;&gt;"",H2&lt;&gt;"",I2&lt;&gt;""),E2*H2/100/365*I2,"")</f>
        <v/>
      </c>
      <c r="K2" s="9" t="inlineStr"/>
      <c r="L2" s="9">
        <f>IF(AND(K2&lt;&gt;"",G2&lt;&gt;""),K2+J2-G2,"")</f>
        <v/>
      </c>
      <c r="M2" s="10">
        <f>IF(AND(L2&lt;&gt;"",G2&lt;&gt;"",I2&lt;&gt;"",I2&gt;0),L2/G2/I2*365,"")</f>
        <v/>
      </c>
      <c r="N2" s="9" t="inlineStr">
        <is>
          <t>示例，请核对后修改</t>
        </is>
      </c>
    </row>
    <row r="4">
      <c r="A4" s="13" t="inlineStr">
        <is>
          <t>📌 填写说明：蓝色列手动输入；G列=买入成本自动计算；I列=已持有天数自动算；J列=当前市场估值(Agent填入)；K/L/M自动计算</t>
        </is>
      </c>
    </row>
  </sheetData>
  <mergeCells count="1">
    <mergeCell ref="A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2026-04-26T08:11:14Z</dcterms:created>
  <dcterms:modified xmlns:dcterms="http://purl.org/dc/terms/" xmlns:xsi="http://www.w3.org/2001/XMLSchema-instance" xsi:type="dcterms:W3CDTF">2026-04-26T08:11:14Z</dcterms:modified>
</cp:coreProperties>
</file>